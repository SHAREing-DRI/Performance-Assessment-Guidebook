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sheet" sheetId="1" state="visible" r:id="rId3"/>
    <sheet name="Core" sheetId="2" state="visible" r:id="rId4"/>
    <sheet name="Intra-node" sheetId="3" state="visible" r:id="rId5"/>
    <sheet name="Labelling"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<sst xmlns="http://schemas.openxmlformats.org/spreadsheetml/2006/main" count="74" uniqueCount="61">
  <si>
    <t xml:space="preserve">High-level Performance Assessment</t>
  </si>
  <si>
    <t xml:space="preserve">This worksheet follows a workflow created by the HAI-End project and used and delivered through the SHAREing project, i.e. this work was supported by the the Science and Technology Facilities Council [grant number UKRI/ST/B000293/1] and the Engineering and Physical Sciences Research Council [grant number XXXX]. SHAREing (Skills Hub for Accelerated Research Environments Inspiring the Next Generation) and HAI-End are part of the cross-UKRI Digital Research Infrastructure initiative.</t>
  </si>
  <si>
    <t xml:space="preserve">Code name: </t>
  </si>
  <si>
    <t xml:space="preserve">Provide the code and, if applicable, URL and git hash here.</t>
  </si>
  <si>
    <t xml:space="preserve">Assessor:</t>
  </si>
  <si>
    <t xml:space="preserve">Person who completed the review.</t>
  </si>
  <si>
    <t xml:space="preserve">System:</t>
  </si>
  <si>
    <t xml:space="preserve">Description of the benchmark system in use.</t>
  </si>
  <si>
    <t xml:space="preserve">Environment:</t>
  </si>
  <si>
    <t xml:space="preserve">Enlist the environment used, i.e. module files and environment variables that are required to reproduce the outcomes. Also be sure you document all additional external libraries that have been used to install the code.</t>
  </si>
  <si>
    <t xml:space="preserve">Compile options:</t>
  </si>
  <si>
    <t xml:space="preserve">Enlist the compile options used explicitly. If the software uses the autotools toolchain or Cmake, make it clear what configuration you did pipe in.</t>
  </si>
  <si>
    <t xml:space="preserve">Summary:</t>
  </si>
  <si>
    <t xml:space="preserve">Core Performance</t>
  </si>
  <si>
    <t xml:space="preserve">Benchmarks:</t>
  </si>
  <si>
    <t xml:space="preserve">Memory bandwidth single core; Stream TRIAD:</t>
  </si>
  <si>
    <t xml:space="preserve">Mbyte/s</t>
  </si>
  <si>
    <t xml:space="preserve">Memory bandwidth full node; Stream TRIAD:</t>
  </si>
  <si>
    <t xml:space="preserve">Total cores:</t>
  </si>
  <si>
    <t xml:space="preserve">Peak performance single core:</t>
  </si>
  <si>
    <t xml:space="preserve">Mflops/s</t>
  </si>
  <si>
    <t xml:space="preserve">Peak performance full node:</t>
  </si>
  <si>
    <t xml:space="preserve">Code behaviour (measured):</t>
  </si>
  <si>
    <t xml:space="preserve">Measured average bandwidth requirements:</t>
  </si>
  <si>
    <t xml:space="preserve">Measured average application peak:</t>
  </si>
  <si>
    <t xml:space="preserve">Use node performance divided by core count to determine target quantities:</t>
  </si>
  <si>
    <t xml:space="preserve">Target per core bandwidth:</t>
  </si>
  <si>
    <t xml:space="preserve">Target per core peak:</t>
  </si>
  <si>
    <t xml:space="preserve">Normalise measured data by target quantities:</t>
  </si>
  <si>
    <t xml:space="preserve">Normalised core bandwidth C_{bw}</t>
  </si>
  <si>
    <t xml:space="preserve">Normalised core peak C_{peak}</t>
  </si>
  <si>
    <t xml:space="preserve">Intra-node performance</t>
  </si>
  <si>
    <t xml:space="preserve">Serial performance:</t>
  </si>
  <si>
    <t xml:space="preserve">Runtime of the code in the vanilla version without any parallelism. This is the ground truth.</t>
  </si>
  <si>
    <t xml:space="preserve">Cores</t>
  </si>
  <si>
    <t xml:space="preserve">Time (measurement)</t>
  </si>
  <si>
    <t xml:space="preserve">Speedup (mod)</t>
  </si>
  <si>
    <t xml:space="preserve">Speedup (Amdahl)</t>
  </si>
  <si>
    <t xml:space="preserve">C_intra</t>
  </si>
  <si>
    <t xml:space="preserve">f</t>
  </si>
  <si>
    <t xml:space="preserve">E</t>
  </si>
  <si>
    <t xml:space="preserve">E (Amdahl)</t>
  </si>
  <si>
    <t xml:space="preserve">Labelling</t>
  </si>
  <si>
    <t xml:space="preserve">Function</t>
  </si>
  <si>
    <t xml:space="preserve">Effective Time (percentage)</t>
  </si>
  <si>
    <t xml:space="preserve">Does Science</t>
  </si>
  <si>
    <t xml:space="preserve">Effective Science</t>
  </si>
  <si>
    <t xml:space="preserve">Overhead</t>
  </si>
  <si>
    <t xml:space="preserve">tarch::la::invert&lt;(int)36, double&gt;</t>
  </si>
  <si>
    <t xml:space="preserve">tarch::la::lu&lt;(int)36, double&gt;</t>
  </si>
  <si>
    <t xml:space="preserve">tarch::la::matVec&lt;(int)96, (int)36, double&gt;</t>
  </si>
  <si>
    <t xml:space="preserve">peano4::grid::GridTraversalEventGenerator::getVertexType</t>
  </si>
  <si>
    <t xml:space="preserve">__intel_avx_rep_memcpy</t>
  </si>
  <si>
    <t xml:space="preserve">peano4::parallel::Node::getLocalTreeId</t>
  </si>
  <si>
    <t xml:space="preserve">__intel_avx_rep_memset</t>
  </si>
  <si>
    <t xml:space="preserve">tarch::la::matVec&lt;(int)36, (int)48, double&gt;</t>
  </si>
  <si>
    <t xml:space="preserve">tarch::la::Matrix&lt;(int)36, (int)36, double&gt;::operator()</t>
  </si>
  <si>
    <t xml:space="preserve">peano4::datamanagement::CellMarker::CellMarker</t>
  </si>
  <si>
    <t xml:space="preserve">Top-10 time</t>
  </si>
  <si>
    <t xml:space="preserve">Tiny routines</t>
  </si>
  <si>
    <t xml:space="preserve">Summary</t>
  </si>
</sst>
</file>

<file path=xl/styles.xml><?xml version="1.0" encoding="utf-8"?>
<styleSheet xmlns="http://schemas.openxmlformats.org/spreadsheetml/2006/main">
  <numFmts count="4">
    <numFmt numFmtId="164" formatCode="General"/>
    <numFmt numFmtId="165" formatCode="General"/>
    <numFmt numFmtId="166" formatCode="0.00%"/>
    <numFmt numFmtId="167" formatCode="&quot;TRUE&quot;;&quot;TRUE&quot;;&quot;FALSE&quot;"/>
  </numFmts>
  <fonts count="7">
    <font>
      <sz val="10"/>
      <name val="Arial"/>
      <family val="2"/>
      <charset val="1"/>
    </font>
    <font>
      <sz val="10"/>
      <name val="Arial"/>
      <family val="0"/>
    </font>
    <font>
      <sz val="10"/>
      <name val="Arial"/>
      <family val="0"/>
    </font>
    <font>
      <sz val="10"/>
      <name val="Arial"/>
      <family val="0"/>
    </font>
    <font>
      <b val="true"/>
      <sz val="16"/>
      <name val="Arial"/>
      <family val="2"/>
      <charset val="1"/>
    </font>
    <font>
      <b val="true"/>
      <sz val="10"/>
      <name val="Arial"/>
      <family val="2"/>
      <charset val="1"/>
    </font>
    <font>
      <sz val="10"/>
      <color rgb="FF000000"/>
      <name val="Arial"/>
      <family val="2"/>
    </font>
  </fonts>
  <fills count="6">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FFFF00"/>
        <bgColor rgb="FFFFFF00"/>
      </patternFill>
    </fill>
    <fill>
      <patternFill patternType="solid">
        <fgColor rgb="FFDDDDDD"/>
        <bgColor rgb="FFCCFFCC"/>
      </patternFill>
    </fill>
  </fills>
  <borders count="2">
    <border diagonalUp="false" diagonalDown="false">
      <left/>
      <right/>
      <top/>
      <bottom/>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GreenCell" xfId="20"/>
    <cellStyle name="Untitled1" xfId="21"/>
    <cellStyle name="YelloCell" xfId="22"/>
  </cellStyles>
  <dxfs count="3">
    <dxf>
      <font>
        <name val="Arial"/>
        <charset val="1"/>
        <family val="2"/>
      </font>
      <fill>
        <patternFill>
          <bgColor rgb="FFFF0000"/>
        </patternFill>
      </fill>
    </dxf>
    <dxf>
      <font>
        <name val="Arial"/>
        <charset val="1"/>
        <family val="2"/>
      </font>
      <fill>
        <patternFill>
          <bgColor rgb="FFFFFF00"/>
        </patternFill>
      </fill>
    </dxf>
    <dxf>
      <font>
        <name val="Arial"/>
        <charset val="1"/>
        <family val="2"/>
      </font>
      <fill>
        <patternFill>
          <bgColor rgb="FF00A93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efficiency</c:f>
              <c:strCache>
                <c:ptCount val="1"/>
                <c:pt idx="0">
                  <c:v>efficiency</c:v>
                </c:pt>
              </c:strCache>
            </c:strRef>
          </c:tx>
          <c:spPr>
            <a:solidFill>
              <a:srgbClr val="004586"/>
            </a:solidFill>
            <a:ln w="28800">
              <a:solidFill>
                <a:srgbClr val="004586"/>
              </a:solidFill>
              <a:round/>
            </a:ln>
          </c:spPr>
          <c:marker>
            <c:symbol val="square"/>
            <c:size val="8"/>
            <c:spPr>
              <a:solidFill>
                <a:srgbClr val="004586"/>
              </a:solidFill>
            </c:spPr>
          </c:marker>
          <c:dLbls>
            <c:txPr>
              <a:bodyPr wrap="none"/>
              <a:lstStyle/>
              <a:p>
                <a:pPr>
                  <a:defRPr b="0" sz="1000" spc="-1" strike="noStrike">
                    <a:solidFill>
                      <a:srgbClr val="000000"/>
                    </a:solidFill>
                    <a:latin typeface="Arial"/>
                    <a:ea typeface="DejaVu San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'Intra-node'!$A$16:$A$28</c:f>
              <c:strCache>
                <c:ptCount val="13"/>
                <c:pt idx="0">
                  <c:v>1</c:v>
                </c:pt>
                <c:pt idx="1">
                  <c:v>2</c:v>
                </c:pt>
                <c:pt idx="2">
                  <c:v>3</c:v>
                </c:pt>
                <c:pt idx="3">
                  <c:v>4</c:v>
                </c:pt>
                <c:pt idx="4">
                  <c:v>6</c:v>
                </c:pt>
                <c:pt idx="5">
                  <c:v>8</c:v>
                </c:pt>
                <c:pt idx="6">
                  <c:v>10</c:v>
                </c:pt>
                <c:pt idx="7">
                  <c:v>12</c:v>
                </c:pt>
                <c:pt idx="8">
                  <c:v>14</c:v>
                </c:pt>
                <c:pt idx="9">
                  <c:v>16</c:v>
                </c:pt>
                <c:pt idx="10">
                  <c:v>20</c:v>
                </c:pt>
                <c:pt idx="11">
                  <c:v>24</c:v>
                </c:pt>
                <c:pt idx="12">
                  <c:v>28</c:v>
                </c:pt>
              </c:strCache>
            </c:strRef>
          </c:cat>
          <c:val>
            <c:numRef>
              <c:f>'Intra-node'!$G$16:$G$28</c:f>
              <c:numCache>
                <c:formatCode>General</c:formatCode>
                <c:ptCount val="13"/>
                <c:pt idx="0">
                  <c:v>0.956628839967953</c:v>
                </c:pt>
                <c:pt idx="1">
                  <c:v>0.82014102324895</c:v>
                </c:pt>
                <c:pt idx="2">
                  <c:v>0.731300865403163</c:v>
                </c:pt>
                <c:pt idx="3">
                  <c:v>0.690078737984005</c:v>
                </c:pt>
                <c:pt idx="4">
                  <c:v>0.654904580402635</c:v>
                </c:pt>
                <c:pt idx="5">
                  <c:v>0.579982484528967</c:v>
                </c:pt>
              </c:numCache>
            </c:numRef>
          </c:val>
          <c:smooth val="0"/>
        </c:ser>
        <c:hiLowLines>
          <c:spPr>
            <a:ln w="0">
              <a:noFill/>
            </a:ln>
          </c:spPr>
        </c:hiLowLines>
        <c:marker val="1"/>
        <c:axId val="11288364"/>
        <c:axId val="24949475"/>
      </c:lineChart>
      <c:catAx>
        <c:axId val="11288364"/>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24949475"/>
        <c:crosses val="autoZero"/>
        <c:auto val="1"/>
        <c:lblAlgn val="ctr"/>
        <c:lblOffset val="100"/>
        <c:noMultiLvlLbl val="0"/>
      </c:catAx>
      <c:valAx>
        <c:axId val="24949475"/>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11288364"/>
        <c:crosses val="autoZero"/>
        <c:crossBetween val="midCat"/>
      </c:valAx>
      <c:spPr>
        <a:noFill/>
        <a:ln w="0">
          <a:solidFill>
            <a:srgbClr val="b3b3b3"/>
          </a:solidFill>
        </a:ln>
      </c:spPr>
    </c:plotArea>
    <c:legend>
      <c:legendPos val="r"/>
      <c:layout>
        <c:manualLayout>
          <c:xMode val="edge"/>
          <c:yMode val="edge"/>
          <c:x val="0.569419266112396"/>
          <c:y val="0.105813048794042"/>
          <c:w val="0.16015502906795"/>
          <c:h val="0.0663554518172724"/>
        </c:manualLayout>
      </c:layout>
      <c:overlay val="0"/>
      <c:spPr>
        <a:noFill/>
        <a:ln w="0">
          <a:noFill/>
        </a:ln>
      </c:spPr>
      <c:txPr>
        <a:bodyPr/>
        <a:lstStyle/>
        <a:p>
          <a:pPr>
            <a:defRPr b="0" sz="1000" spc="-1" strike="noStrike">
              <a:solidFill>
                <a:srgbClr val="000000"/>
              </a:solidFill>
              <a:latin typeface="Arial"/>
              <a:ea typeface="DejaVu Sans"/>
            </a:defRPr>
          </a:pPr>
        </a:p>
      </c:txPr>
    </c:legend>
    <c:plotVisOnly val="1"/>
    <c:dispBlanksAs val="zero"/>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chart" Target="../charts/chart1.xml"/>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1</xdr:col>
      <xdr:colOff>504360</xdr:colOff>
      <xdr:row>9</xdr:row>
      <xdr:rowOff>27360</xdr:rowOff>
    </xdr:to>
    <xdr:pic>
      <xdr:nvPicPr>
        <xdr:cNvPr id="0" name="Image 1" descr=""/>
        <xdr:cNvPicPr/>
      </xdr:nvPicPr>
      <xdr:blipFill>
        <a:blip r:embed="rId1"/>
        <a:stretch/>
      </xdr:blipFill>
      <xdr:spPr>
        <a:xfrm>
          <a:off x="0" y="412920"/>
          <a:ext cx="1553400" cy="1164960"/>
        </a:xfrm>
        <a:prstGeom prst="rect">
          <a:avLst/>
        </a:prstGeom>
        <a:ln w="0">
          <a:noFill/>
        </a:ln>
      </xdr:spPr>
    </xdr:pic>
    <xdr:clientData/>
  </xdr:twoCellAnchor>
  <xdr:twoCellAnchor editAs="oneCell">
    <xdr:from>
      <xdr:col>1</xdr:col>
      <xdr:colOff>852120</xdr:colOff>
      <xdr:row>2</xdr:row>
      <xdr:rowOff>119520</xdr:rowOff>
    </xdr:from>
    <xdr:to>
      <xdr:col>1</xdr:col>
      <xdr:colOff>4237920</xdr:colOff>
      <xdr:row>8</xdr:row>
      <xdr:rowOff>141480</xdr:rowOff>
    </xdr:to>
    <xdr:pic>
      <xdr:nvPicPr>
        <xdr:cNvPr id="1" name="Image 2" descr=""/>
        <xdr:cNvPicPr/>
      </xdr:nvPicPr>
      <xdr:blipFill>
        <a:blip r:embed="rId2"/>
        <a:stretch/>
      </xdr:blipFill>
      <xdr:spPr>
        <a:xfrm>
          <a:off x="1901160" y="532440"/>
          <a:ext cx="3385800" cy="997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0</xdr:col>
      <xdr:colOff>1553400</xdr:colOff>
      <xdr:row>9</xdr:row>
      <xdr:rowOff>27360</xdr:rowOff>
    </xdr:to>
    <xdr:pic>
      <xdr:nvPicPr>
        <xdr:cNvPr id="2" name="Image 3" descr=""/>
        <xdr:cNvPicPr/>
      </xdr:nvPicPr>
      <xdr:blipFill>
        <a:blip r:embed="rId1"/>
        <a:stretch/>
      </xdr:blipFill>
      <xdr:spPr>
        <a:xfrm>
          <a:off x="0" y="412920"/>
          <a:ext cx="1553400" cy="1164960"/>
        </a:xfrm>
        <a:prstGeom prst="rect">
          <a:avLst/>
        </a:prstGeom>
        <a:ln w="0">
          <a:noFill/>
        </a:ln>
      </xdr:spPr>
    </xdr:pic>
    <xdr:clientData/>
  </xdr:twoCellAnchor>
  <xdr:twoCellAnchor editAs="oneCell">
    <xdr:from>
      <xdr:col>0</xdr:col>
      <xdr:colOff>1911960</xdr:colOff>
      <xdr:row>2</xdr:row>
      <xdr:rowOff>90720</xdr:rowOff>
    </xdr:from>
    <xdr:to>
      <xdr:col>2</xdr:col>
      <xdr:colOff>680040</xdr:colOff>
      <xdr:row>8</xdr:row>
      <xdr:rowOff>112680</xdr:rowOff>
    </xdr:to>
    <xdr:pic>
      <xdr:nvPicPr>
        <xdr:cNvPr id="3" name="Image 4" descr=""/>
        <xdr:cNvPicPr/>
      </xdr:nvPicPr>
      <xdr:blipFill>
        <a:blip r:embed="rId2"/>
        <a:stretch/>
      </xdr:blipFill>
      <xdr:spPr>
        <a:xfrm>
          <a:off x="1911960" y="503640"/>
          <a:ext cx="3385080" cy="9972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1</xdr:col>
      <xdr:colOff>504360</xdr:colOff>
      <xdr:row>9</xdr:row>
      <xdr:rowOff>27360</xdr:rowOff>
    </xdr:to>
    <xdr:pic>
      <xdr:nvPicPr>
        <xdr:cNvPr id="4" name="Image 5" descr=""/>
        <xdr:cNvPicPr/>
      </xdr:nvPicPr>
      <xdr:blipFill>
        <a:blip r:embed="rId1"/>
        <a:stretch/>
      </xdr:blipFill>
      <xdr:spPr>
        <a:xfrm>
          <a:off x="0" y="412920"/>
          <a:ext cx="1553400" cy="1164960"/>
        </a:xfrm>
        <a:prstGeom prst="rect">
          <a:avLst/>
        </a:prstGeom>
        <a:ln w="0">
          <a:noFill/>
        </a:ln>
      </xdr:spPr>
    </xdr:pic>
    <xdr:clientData/>
  </xdr:twoCellAnchor>
  <xdr:twoCellAnchor editAs="oneCell">
    <xdr:from>
      <xdr:col>1</xdr:col>
      <xdr:colOff>852120</xdr:colOff>
      <xdr:row>2</xdr:row>
      <xdr:rowOff>119520</xdr:rowOff>
    </xdr:from>
    <xdr:to>
      <xdr:col>1</xdr:col>
      <xdr:colOff>4237920</xdr:colOff>
      <xdr:row>8</xdr:row>
      <xdr:rowOff>141480</xdr:rowOff>
    </xdr:to>
    <xdr:pic>
      <xdr:nvPicPr>
        <xdr:cNvPr id="5" name="Image 6" descr=""/>
        <xdr:cNvPicPr/>
      </xdr:nvPicPr>
      <xdr:blipFill>
        <a:blip r:embed="rId2"/>
        <a:stretch/>
      </xdr:blipFill>
      <xdr:spPr>
        <a:xfrm>
          <a:off x="1901160" y="532440"/>
          <a:ext cx="3385800" cy="997200"/>
        </a:xfrm>
        <a:prstGeom prst="rect">
          <a:avLst/>
        </a:prstGeom>
        <a:ln w="0">
          <a:noFill/>
        </a:ln>
      </xdr:spPr>
    </xdr:pic>
    <xdr:clientData/>
  </xdr:twoCellAnchor>
  <xdr:twoCellAnchor editAs="oneCell">
    <xdr:from>
      <xdr:col>2</xdr:col>
      <xdr:colOff>86400</xdr:colOff>
      <xdr:row>29</xdr:row>
      <xdr:rowOff>26280</xdr:rowOff>
    </xdr:from>
    <xdr:to>
      <xdr:col>8</xdr:col>
      <xdr:colOff>575280</xdr:colOff>
      <xdr:row>34</xdr:row>
      <xdr:rowOff>37080</xdr:rowOff>
    </xdr:to>
    <xdr:graphicFrame>
      <xdr:nvGraphicFramePr>
        <xdr:cNvPr id="6" name=""/>
        <xdr:cNvGraphicFramePr/>
      </xdr:nvGraphicFramePr>
      <xdr:xfrm>
        <a:off x="7577640" y="6040440"/>
        <a:ext cx="5758560" cy="323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1</xdr:col>
      <xdr:colOff>740520</xdr:colOff>
      <xdr:row>9</xdr:row>
      <xdr:rowOff>27360</xdr:rowOff>
    </xdr:to>
    <xdr:pic>
      <xdr:nvPicPr>
        <xdr:cNvPr id="7" name="Image 7" descr=""/>
        <xdr:cNvPicPr/>
      </xdr:nvPicPr>
      <xdr:blipFill>
        <a:blip r:embed="rId1"/>
        <a:stretch/>
      </xdr:blipFill>
      <xdr:spPr>
        <a:xfrm>
          <a:off x="0" y="412920"/>
          <a:ext cx="1553400" cy="1164960"/>
        </a:xfrm>
        <a:prstGeom prst="rect">
          <a:avLst/>
        </a:prstGeom>
        <a:ln w="0">
          <a:noFill/>
        </a:ln>
      </xdr:spPr>
    </xdr:pic>
    <xdr:clientData/>
  </xdr:twoCellAnchor>
  <xdr:twoCellAnchor editAs="oneCell">
    <xdr:from>
      <xdr:col>1</xdr:col>
      <xdr:colOff>107280</xdr:colOff>
      <xdr:row>2</xdr:row>
      <xdr:rowOff>119520</xdr:rowOff>
    </xdr:from>
    <xdr:to>
      <xdr:col>1</xdr:col>
      <xdr:colOff>3493080</xdr:colOff>
      <xdr:row>8</xdr:row>
      <xdr:rowOff>141480</xdr:rowOff>
    </xdr:to>
    <xdr:pic>
      <xdr:nvPicPr>
        <xdr:cNvPr id="8" name="Image 8" descr=""/>
        <xdr:cNvPicPr/>
      </xdr:nvPicPr>
      <xdr:blipFill>
        <a:blip r:embed="rId2"/>
        <a:stretch/>
      </xdr:blipFill>
      <xdr:spPr>
        <a:xfrm>
          <a:off x="920160" y="532440"/>
          <a:ext cx="3385800" cy="997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11.53515625" defaultRowHeight="12.8" zeroHeight="false" outlineLevelRow="0" outlineLevelCol="0"/>
  <cols>
    <col collapsed="false" customWidth="true" hidden="false" outlineLevel="0" max="1" min="1" style="1" width="14.88"/>
    <col collapsed="false" customWidth="true" hidden="false" outlineLevel="0" max="2" min="2" style="1" width="91.4"/>
    <col collapsed="false" customWidth="true" hidden="false" outlineLevel="0" max="3" min="3" style="1" width="57.17"/>
  </cols>
  <sheetData>
    <row r="1" customFormat="false" ht="19.7" hidden="false" customHeight="false" outlineLevel="0" collapsed="false">
      <c r="A1" s="2" t="s">
        <v>0</v>
      </c>
    </row>
    <row r="11" customFormat="false" ht="65.65" hidden="false" customHeight="true" outlineLevel="0" collapsed="false">
      <c r="A11" s="3" t="s">
        <v>1</v>
      </c>
      <c r="B11" s="3"/>
      <c r="C11" s="3"/>
    </row>
    <row r="14" customFormat="false" ht="12.8" hidden="false" customHeight="false" outlineLevel="0" collapsed="false">
      <c r="A14" s="4" t="s">
        <v>2</v>
      </c>
      <c r="B14" s="5"/>
      <c r="C14" s="6" t="s">
        <v>3</v>
      </c>
    </row>
    <row r="15" customFormat="false" ht="12.8" hidden="false" customHeight="false" outlineLevel="0" collapsed="false">
      <c r="A15" s="4" t="s">
        <v>4</v>
      </c>
      <c r="B15" s="5"/>
      <c r="C15" s="6" t="s">
        <v>5</v>
      </c>
    </row>
    <row r="16" customFormat="false" ht="12.8" hidden="false" customHeight="false" outlineLevel="0" collapsed="false">
      <c r="A16" s="4" t="s">
        <v>6</v>
      </c>
      <c r="B16" s="5"/>
      <c r="C16" s="6" t="s">
        <v>7</v>
      </c>
    </row>
    <row r="17" customFormat="false" ht="46.25" hidden="false" customHeight="false" outlineLevel="0" collapsed="false">
      <c r="A17" s="4" t="s">
        <v>8</v>
      </c>
      <c r="B17" s="5"/>
      <c r="C17" s="6" t="s">
        <v>9</v>
      </c>
    </row>
    <row r="18" customFormat="false" ht="35.05" hidden="false" customHeight="false" outlineLevel="0" collapsed="false">
      <c r="A18" s="4" t="s">
        <v>10</v>
      </c>
      <c r="B18" s="5"/>
      <c r="C18" s="6" t="s">
        <v>11</v>
      </c>
    </row>
    <row r="19" customFormat="false" ht="194.75" hidden="false" customHeight="true" outlineLevel="0" collapsed="false">
      <c r="A19" s="4" t="s">
        <v>12</v>
      </c>
      <c r="B19" s="5"/>
    </row>
  </sheetData>
  <mergeCells count="1">
    <mergeCell ref="A11:C1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29" activeCellId="0" sqref="B29"/>
    </sheetView>
  </sheetViews>
  <sheetFormatPr defaultColWidth="11.53515625" defaultRowHeight="12.8" zeroHeight="false" outlineLevelRow="0" outlineLevelCol="0"/>
  <cols>
    <col collapsed="false" customWidth="true" hidden="false" outlineLevel="0" max="1" min="1" style="1" width="44.65"/>
    <col collapsed="false" customWidth="true" hidden="false" outlineLevel="0" max="2" min="2" style="1" width="20.85"/>
    <col collapsed="false" customWidth="true" hidden="false" outlineLevel="0" max="3" min="3" style="1" width="57.17"/>
  </cols>
  <sheetData>
    <row r="1" customFormat="false" ht="19.7" hidden="false" customHeight="false" outlineLevel="0" collapsed="false">
      <c r="A1" s="2" t="s">
        <v>13</v>
      </c>
    </row>
    <row r="11" customFormat="false" ht="65.65" hidden="false" customHeight="true" outlineLevel="0" collapsed="false">
      <c r="A11" s="3" t="s">
        <v>1</v>
      </c>
      <c r="B11" s="3"/>
      <c r="C11" s="3"/>
    </row>
    <row r="13" customFormat="false" ht="12.8" hidden="false" customHeight="false" outlineLevel="0" collapsed="false">
      <c r="A13" s="7" t="s">
        <v>14</v>
      </c>
    </row>
    <row r="14" customFormat="false" ht="12.8" hidden="false" customHeight="false" outlineLevel="0" collapsed="false">
      <c r="A14" s="8" t="s">
        <v>15</v>
      </c>
      <c r="B14" s="5" t="n">
        <v>8599.93</v>
      </c>
      <c r="C14" s="6" t="s">
        <v>16</v>
      </c>
    </row>
    <row r="15" customFormat="false" ht="12.8" hidden="false" customHeight="false" outlineLevel="0" collapsed="false">
      <c r="A15" s="8" t="s">
        <v>17</v>
      </c>
      <c r="B15" s="5" t="n">
        <v>13576.54</v>
      </c>
      <c r="C15" s="6" t="s">
        <v>16</v>
      </c>
    </row>
    <row r="16" customFormat="false" ht="12.8" hidden="false" customHeight="false" outlineLevel="0" collapsed="false">
      <c r="A16" s="8" t="s">
        <v>18</v>
      </c>
      <c r="B16" s="5" t="n">
        <v>8</v>
      </c>
      <c r="C16" s="6"/>
    </row>
    <row r="17" customFormat="false" ht="19.4" hidden="false" customHeight="true" outlineLevel="0" collapsed="false">
      <c r="A17" s="8" t="s">
        <v>19</v>
      </c>
      <c r="B17" s="5" t="n">
        <v>2992.27</v>
      </c>
      <c r="C17" s="6" t="s">
        <v>20</v>
      </c>
    </row>
    <row r="18" customFormat="false" ht="12.8" hidden="false" customHeight="false" outlineLevel="0" collapsed="false">
      <c r="A18" s="8" t="s">
        <v>21</v>
      </c>
      <c r="B18" s="5" t="n">
        <v>6780.65</v>
      </c>
      <c r="C18" s="6" t="s">
        <v>20</v>
      </c>
    </row>
    <row r="19" customFormat="false" ht="12.8" hidden="false" customHeight="false" outlineLevel="0" collapsed="false">
      <c r="A19" s="8"/>
      <c r="B19" s="9"/>
      <c r="C19" s="6"/>
    </row>
    <row r="20" customFormat="false" ht="12.8" hidden="false" customHeight="false" outlineLevel="0" collapsed="false">
      <c r="A20" s="4" t="s">
        <v>22</v>
      </c>
      <c r="B20" s="9"/>
      <c r="C20" s="6"/>
    </row>
    <row r="21" customFormat="false" ht="12.8" hidden="false" customHeight="false" outlineLevel="0" collapsed="false">
      <c r="A21" s="8" t="s">
        <v>23</v>
      </c>
      <c r="B21" s="5" t="n">
        <v>674.2648</v>
      </c>
      <c r="C21" s="6" t="s">
        <v>16</v>
      </c>
    </row>
    <row r="22" customFormat="false" ht="12.8" hidden="false" customHeight="false" outlineLevel="0" collapsed="false">
      <c r="A22" s="8" t="s">
        <v>24</v>
      </c>
      <c r="B22" s="5" t="n">
        <v>190.5715</v>
      </c>
      <c r="C22" s="6" t="s">
        <v>20</v>
      </c>
    </row>
    <row r="23" customFormat="false" ht="12.8" hidden="false" customHeight="false" outlineLevel="0" collapsed="false">
      <c r="A23" s="4"/>
      <c r="B23" s="9"/>
    </row>
    <row r="24" customFormat="false" ht="12.8" hidden="false" customHeight="false" outlineLevel="0" collapsed="false">
      <c r="A24" s="7" t="s">
        <v>25</v>
      </c>
    </row>
    <row r="25" customFormat="false" ht="12.8" hidden="false" customHeight="false" outlineLevel="0" collapsed="false">
      <c r="A25" s="1" t="s">
        <v>26</v>
      </c>
      <c r="B25" s="1" t="n">
        <f aca="false">B15/B16</f>
        <v>1697.0675</v>
      </c>
      <c r="C25" s="6" t="s">
        <v>16</v>
      </c>
    </row>
    <row r="26" customFormat="false" ht="12.8" hidden="false" customHeight="false" outlineLevel="0" collapsed="false">
      <c r="A26" s="1" t="s">
        <v>27</v>
      </c>
      <c r="B26" s="1" t="n">
        <f aca="false">B18/B16</f>
        <v>847.58125</v>
      </c>
      <c r="C26" s="6" t="s">
        <v>20</v>
      </c>
    </row>
    <row r="28" customFormat="false" ht="12.8" hidden="false" customHeight="false" outlineLevel="0" collapsed="false">
      <c r="A28" s="7" t="s">
        <v>28</v>
      </c>
    </row>
    <row r="29" customFormat="false" ht="12.8" hidden="false" customHeight="false" outlineLevel="0" collapsed="false">
      <c r="A29" s="1" t="s">
        <v>29</v>
      </c>
      <c r="B29" s="10" t="n">
        <f aca="false">B21/B25</f>
        <v>0.397311715650674</v>
      </c>
    </row>
    <row r="30" customFormat="false" ht="12.8" hidden="false" customHeight="false" outlineLevel="0" collapsed="false">
      <c r="A30" s="1" t="s">
        <v>30</v>
      </c>
      <c r="B30" s="10" t="n">
        <f aca="false">B22/B26</f>
        <v>0.224841571235796</v>
      </c>
    </row>
    <row r="32" customFormat="false" ht="12.8" hidden="false" customHeight="false" outlineLevel="0" collapsed="false">
      <c r="A32" s="7" t="s">
        <v>12</v>
      </c>
      <c r="B32" s="9"/>
    </row>
    <row r="33" customFormat="false" ht="12.8" hidden="false" customHeight="false" outlineLevel="0" collapsed="false">
      <c r="A33" s="5"/>
      <c r="B33" s="5"/>
    </row>
    <row r="34" customFormat="false" ht="12.8" hidden="false" customHeight="false" outlineLevel="0" collapsed="false">
      <c r="A34" s="5"/>
      <c r="B34" s="5"/>
    </row>
  </sheetData>
  <mergeCells count="2">
    <mergeCell ref="A11:C11"/>
    <mergeCell ref="A33:B34"/>
  </mergeCells>
  <conditionalFormatting sqref="B29:B30">
    <cfRule type="cellIs" priority="2" operator="lessThan" aboveAverage="0" equalAverage="0" bottom="0" percent="0" rank="0" text="" dxfId="0">
      <formula>0.6</formula>
    </cfRule>
    <cfRule type="cellIs" priority="3" operator="lessThan" aboveAverage="0" equalAverage="0" bottom="0" percent="0" rank="0" text="" dxfId="1">
      <formula>0.8</formula>
    </cfRule>
    <cfRule type="cellIs" priority="4" operator="greaterThanOrEqual" aboveAverage="0" equalAverage="0" bottom="0" percent="0" rank="0" text="" dxfId="2">
      <formula>0.8</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 width="14.88"/>
    <col collapsed="false" customWidth="true" hidden="false" outlineLevel="0" max="2" min="2" style="1" width="91.4"/>
    <col collapsed="false" customWidth="true" hidden="false" outlineLevel="0" max="3" min="3" style="1" width="17.11"/>
    <col collapsed="false" customWidth="false" hidden="false" outlineLevel="0" max="4" min="4" style="1" width="11.53"/>
  </cols>
  <sheetData>
    <row r="1" customFormat="false" ht="19.7" hidden="false" customHeight="false" outlineLevel="0" collapsed="false">
      <c r="A1" s="2" t="s">
        <v>31</v>
      </c>
    </row>
    <row r="11" customFormat="false" ht="65.65" hidden="false" customHeight="true" outlineLevel="0" collapsed="false">
      <c r="A11" s="3" t="s">
        <v>1</v>
      </c>
      <c r="B11" s="3"/>
      <c r="C11" s="3"/>
      <c r="D11" s="3"/>
    </row>
    <row r="14" customFormat="false" ht="36.55" hidden="false" customHeight="true" outlineLevel="0" collapsed="false">
      <c r="A14" s="4" t="s">
        <v>32</v>
      </c>
      <c r="B14" s="5" t="n">
        <v>800</v>
      </c>
      <c r="C14" s="3" t="s">
        <v>33</v>
      </c>
      <c r="D14" s="3"/>
      <c r="E14" s="3"/>
      <c r="F14" s="3"/>
    </row>
    <row r="15" customFormat="false" ht="23.85" hidden="false" customHeight="false" outlineLevel="0" collapsed="false">
      <c r="A15" s="4" t="s">
        <v>34</v>
      </c>
      <c r="B15" s="11" t="s">
        <v>35</v>
      </c>
      <c r="C15" s="12" t="s">
        <v>36</v>
      </c>
      <c r="D15" s="12" t="s">
        <v>37</v>
      </c>
      <c r="E15" s="7" t="s">
        <v>38</v>
      </c>
      <c r="F15" s="7" t="s">
        <v>39</v>
      </c>
      <c r="G15" s="7" t="s">
        <v>40</v>
      </c>
      <c r="H15" s="7" t="s">
        <v>41</v>
      </c>
    </row>
    <row r="16" customFormat="false" ht="14.9" hidden="false" customHeight="true" outlineLevel="0" collapsed="false">
      <c r="A16" s="13" t="n">
        <v>1</v>
      </c>
      <c r="B16" s="5" t="n">
        <v>836.27</v>
      </c>
      <c r="C16" s="6" t="n">
        <f aca="false">$B$14/B16</f>
        <v>0.956628839967953</v>
      </c>
      <c r="D16" s="6" t="n">
        <f aca="false">$B$16/B16</f>
        <v>1</v>
      </c>
      <c r="E16" s="10" t="n">
        <f aca="false">$B$14/$B$16</f>
        <v>0.956628839967953</v>
      </c>
      <c r="F16" s="1" t="n">
        <v>1</v>
      </c>
      <c r="G16" s="10" t="n">
        <f aca="false">C16/A16</f>
        <v>0.956628839967953</v>
      </c>
      <c r="H16" s="10" t="n">
        <f aca="false">D16/A16</f>
        <v>1</v>
      </c>
    </row>
    <row r="17" customFormat="false" ht="16.4" hidden="false" customHeight="true" outlineLevel="0" collapsed="false">
      <c r="A17" s="14" t="n">
        <v>2</v>
      </c>
      <c r="B17" s="5" t="n">
        <v>487.721</v>
      </c>
      <c r="C17" s="6" t="n">
        <f aca="false">$B$14/B17</f>
        <v>1.6402820464979</v>
      </c>
      <c r="D17" s="6" t="n">
        <f aca="false">$B$16/B17</f>
        <v>1.71464833378099</v>
      </c>
      <c r="E17" s="10" t="n">
        <f aca="false">$B$14/$B$16</f>
        <v>0.956628839967953</v>
      </c>
      <c r="F17" s="1" t="n">
        <f aca="false">(B17/B$16-1)/(1/A17-1)</f>
        <v>0.833580063854975</v>
      </c>
      <c r="G17" s="10" t="n">
        <f aca="false">C17/A17</f>
        <v>0.820141023248948</v>
      </c>
      <c r="H17" s="10" t="n">
        <f aca="false">D17/A17</f>
        <v>0.857324166890497</v>
      </c>
    </row>
    <row r="18" customFormat="false" ht="12.8" hidden="false" customHeight="false" outlineLevel="0" collapsed="false">
      <c r="A18" s="14" t="n">
        <v>3</v>
      </c>
      <c r="B18" s="5" t="n">
        <v>364.647</v>
      </c>
      <c r="C18" s="6" t="n">
        <f aca="false">$B$14/B18</f>
        <v>2.19390259620949</v>
      </c>
      <c r="D18" s="6" t="n">
        <f aca="false">$B$16/B18</f>
        <v>2.29336865516513</v>
      </c>
      <c r="E18" s="10" t="n">
        <f aca="false">$B$14/$B$16</f>
        <v>0.956628839967953</v>
      </c>
      <c r="F18" s="1" t="n">
        <f aca="false">(B18/B$16-1)/(1/A18-1)</f>
        <v>0.845940306360386</v>
      </c>
      <c r="G18" s="10" t="n">
        <f aca="false">C18/A18</f>
        <v>0.731300865403162</v>
      </c>
      <c r="H18" s="10" t="n">
        <f aca="false">D18/A18</f>
        <v>0.764456218388378</v>
      </c>
    </row>
    <row r="19" customFormat="false" ht="14.9" hidden="false" customHeight="true" outlineLevel="0" collapsed="false">
      <c r="A19" s="14" t="n">
        <v>4</v>
      </c>
      <c r="B19" s="5" t="n">
        <v>289.822</v>
      </c>
      <c r="C19" s="6" t="n">
        <f aca="false">$B$14/B19</f>
        <v>2.76031495193602</v>
      </c>
      <c r="D19" s="6" t="n">
        <f aca="false">$B$16/B19</f>
        <v>2.88546073106942</v>
      </c>
      <c r="E19" s="10" t="n">
        <f aca="false">$B$14/$B$16</f>
        <v>0.956628839967953</v>
      </c>
      <c r="F19" s="1" t="n">
        <f aca="false">(B19/B$16-1)/(1/A19-1)</f>
        <v>0.871246527238013</v>
      </c>
      <c r="G19" s="10" t="n">
        <f aca="false">C19/A19</f>
        <v>0.690078737984004</v>
      </c>
      <c r="H19" s="10" t="n">
        <f aca="false">D19/A19</f>
        <v>0.721365182767354</v>
      </c>
    </row>
    <row r="20" customFormat="false" ht="12.8" hidden="false" customHeight="false" outlineLevel="0" collapsed="false">
      <c r="A20" s="13" t="n">
        <v>6</v>
      </c>
      <c r="B20" s="5" t="n">
        <v>203.592</v>
      </c>
      <c r="C20" s="6" t="n">
        <f aca="false">$B$14/B20</f>
        <v>3.92942748241581</v>
      </c>
      <c r="D20" s="6" t="n">
        <f aca="false">$B$16/B20</f>
        <v>4.10757790089984</v>
      </c>
      <c r="E20" s="10" t="n">
        <f aca="false">$B$14/$B$16</f>
        <v>0.956628839967953</v>
      </c>
      <c r="F20" s="1" t="n">
        <f aca="false">(B20/B$16-1)/(1/A20-1)</f>
        <v>0.907857031819867</v>
      </c>
      <c r="G20" s="10" t="n">
        <f aca="false">C20/A20</f>
        <v>0.654904580402635</v>
      </c>
      <c r="H20" s="10" t="n">
        <f aca="false">D20/A20</f>
        <v>0.68459631681664</v>
      </c>
    </row>
    <row r="21" customFormat="false" ht="12.8" hidden="false" customHeight="false" outlineLevel="0" collapsed="false">
      <c r="A21" s="13" t="n">
        <v>8</v>
      </c>
      <c r="B21" s="5" t="n">
        <v>172.419</v>
      </c>
      <c r="C21" s="6" t="n">
        <f aca="false">$B$14/B21</f>
        <v>4.63985987623174</v>
      </c>
      <c r="D21" s="6" t="n">
        <f aca="false">$B$16/B21</f>
        <v>4.85021952337039</v>
      </c>
      <c r="E21" s="10" t="n">
        <f aca="false">$B$14/$B$16</f>
        <v>0.956628839967953</v>
      </c>
      <c r="F21" s="1" t="n">
        <f aca="false">(B21/B$16-1)/(1/A21-1)</f>
        <v>0.907227160059379</v>
      </c>
      <c r="G21" s="10" t="n">
        <f aca="false">C21/A21</f>
        <v>0.579982484528967</v>
      </c>
      <c r="H21" s="10" t="n">
        <f aca="false">D21/A21</f>
        <v>0.606277440421299</v>
      </c>
    </row>
    <row r="22" customFormat="false" ht="12.8" hidden="false" customHeight="false" outlineLevel="0" collapsed="false">
      <c r="A22" s="13" t="n">
        <v>10</v>
      </c>
      <c r="B22" s="5"/>
      <c r="C22" s="6" t="e">
        <f aca="false">$B$14/B22</f>
        <v>#DIV/0!</v>
      </c>
      <c r="D22" s="6" t="e">
        <f aca="false">$B$16/B22</f>
        <v>#DIV/0!</v>
      </c>
      <c r="E22" s="10" t="n">
        <f aca="false">$B$14/$B$16</f>
        <v>0.956628839967953</v>
      </c>
      <c r="F22" s="1" t="n">
        <f aca="false">(B22/B$16-1)/(1/A22-1)</f>
        <v>1.11111111111111</v>
      </c>
      <c r="G22" s="10" t="e">
        <f aca="false">C22/A22</f>
        <v>#DIV/0!</v>
      </c>
      <c r="H22" s="10" t="e">
        <f aca="false">D22/A22</f>
        <v>#DIV/0!</v>
      </c>
    </row>
    <row r="23" customFormat="false" ht="12.8" hidden="false" customHeight="false" outlineLevel="0" collapsed="false">
      <c r="A23" s="13" t="n">
        <v>12</v>
      </c>
      <c r="B23" s="5"/>
      <c r="C23" s="6" t="e">
        <f aca="false">$B$14/B23</f>
        <v>#DIV/0!</v>
      </c>
      <c r="D23" s="6" t="e">
        <f aca="false">$B$16/B23</f>
        <v>#DIV/0!</v>
      </c>
      <c r="E23" s="10" t="n">
        <f aca="false">$B$14/$B$16</f>
        <v>0.956628839967953</v>
      </c>
      <c r="F23" s="1" t="n">
        <f aca="false">(B23/B$16-1)/(1/A23-1)</f>
        <v>1.09090909090909</v>
      </c>
      <c r="G23" s="10" t="e">
        <f aca="false">C23/A23</f>
        <v>#DIV/0!</v>
      </c>
      <c r="H23" s="10" t="e">
        <f aca="false">D23/A23</f>
        <v>#DIV/0!</v>
      </c>
    </row>
    <row r="24" customFormat="false" ht="12.8" hidden="false" customHeight="false" outlineLevel="0" collapsed="false">
      <c r="A24" s="13" t="n">
        <v>14</v>
      </c>
      <c r="B24" s="5"/>
      <c r="C24" s="6" t="e">
        <f aca="false">$B$14/B24</f>
        <v>#DIV/0!</v>
      </c>
      <c r="D24" s="6" t="e">
        <f aca="false">$B$16/B24</f>
        <v>#DIV/0!</v>
      </c>
      <c r="E24" s="10" t="n">
        <f aca="false">$B$14/$B$16</f>
        <v>0.956628839967953</v>
      </c>
      <c r="F24" s="1" t="n">
        <f aca="false">(B24/B$16-1)/(1/A24-1)</f>
        <v>1.07692307692308</v>
      </c>
      <c r="G24" s="10" t="e">
        <f aca="false">C24/A24</f>
        <v>#DIV/0!</v>
      </c>
      <c r="H24" s="10" t="e">
        <f aca="false">D24/A24</f>
        <v>#DIV/0!</v>
      </c>
    </row>
    <row r="25" customFormat="false" ht="12.8" hidden="false" customHeight="false" outlineLevel="0" collapsed="false">
      <c r="A25" s="13" t="n">
        <v>16</v>
      </c>
      <c r="B25" s="5"/>
      <c r="C25" s="6" t="e">
        <f aca="false">$B$14/B25</f>
        <v>#DIV/0!</v>
      </c>
      <c r="D25" s="6" t="e">
        <f aca="false">$B$16/B25</f>
        <v>#DIV/0!</v>
      </c>
      <c r="E25" s="10" t="n">
        <f aca="false">$B$14/$B$16</f>
        <v>0.956628839967953</v>
      </c>
      <c r="F25" s="1" t="n">
        <f aca="false">(B25/B$16-1)/(1/A25-1)</f>
        <v>1.06666666666667</v>
      </c>
      <c r="G25" s="10" t="e">
        <f aca="false">C25/A25</f>
        <v>#DIV/0!</v>
      </c>
      <c r="H25" s="10" t="e">
        <f aca="false">D25/A25</f>
        <v>#DIV/0!</v>
      </c>
    </row>
    <row r="26" customFormat="false" ht="12.8" hidden="false" customHeight="false" outlineLevel="0" collapsed="false">
      <c r="A26" s="13" t="n">
        <v>20</v>
      </c>
      <c r="B26" s="5"/>
      <c r="C26" s="6" t="e">
        <f aca="false">$B$14/B26</f>
        <v>#DIV/0!</v>
      </c>
      <c r="D26" s="6" t="e">
        <f aca="false">$B$16/B26</f>
        <v>#DIV/0!</v>
      </c>
      <c r="E26" s="10" t="n">
        <f aca="false">$B$14/$B$16</f>
        <v>0.956628839967953</v>
      </c>
      <c r="F26" s="1" t="n">
        <f aca="false">(B26/B$16-1)/(1/A26-1)</f>
        <v>1.05263157894737</v>
      </c>
      <c r="G26" s="10" t="e">
        <f aca="false">C26/A26</f>
        <v>#DIV/0!</v>
      </c>
      <c r="H26" s="10" t="e">
        <f aca="false">D26/A26</f>
        <v>#DIV/0!</v>
      </c>
    </row>
    <row r="27" customFormat="false" ht="12.8" hidden="false" customHeight="false" outlineLevel="0" collapsed="false">
      <c r="A27" s="13" t="n">
        <v>24</v>
      </c>
      <c r="B27" s="5"/>
      <c r="C27" s="6" t="e">
        <f aca="false">$B$14/B27</f>
        <v>#DIV/0!</v>
      </c>
      <c r="D27" s="6" t="e">
        <f aca="false">$B$16/B27</f>
        <v>#DIV/0!</v>
      </c>
      <c r="E27" s="10" t="n">
        <f aca="false">$B$14/$B$16</f>
        <v>0.956628839967953</v>
      </c>
      <c r="F27" s="1" t="n">
        <f aca="false">(B27/B$16-1)/(1/A27-1)</f>
        <v>1.04347826086957</v>
      </c>
      <c r="G27" s="10" t="e">
        <f aca="false">C27/A27</f>
        <v>#DIV/0!</v>
      </c>
      <c r="H27" s="10" t="e">
        <f aca="false">D27/A27</f>
        <v>#DIV/0!</v>
      </c>
    </row>
    <row r="28" customFormat="false" ht="12.8" hidden="false" customHeight="false" outlineLevel="0" collapsed="false">
      <c r="A28" s="13" t="n">
        <v>28</v>
      </c>
      <c r="B28" s="5"/>
      <c r="C28" s="6" t="e">
        <f aca="false">$B$14/B28</f>
        <v>#DIV/0!</v>
      </c>
      <c r="D28" s="6" t="e">
        <f aca="false">$B$16/B28</f>
        <v>#DIV/0!</v>
      </c>
      <c r="E28" s="10" t="n">
        <f aca="false">$B$14/$B$16</f>
        <v>0.956628839967953</v>
      </c>
      <c r="F28" s="1" t="n">
        <f aca="false">(B28/B$16-1)/(1/A28-1)</f>
        <v>1.03703703703704</v>
      </c>
      <c r="G28" s="10" t="e">
        <f aca="false">C28/A28</f>
        <v>#DIV/0!</v>
      </c>
      <c r="H28" s="10" t="e">
        <f aca="false">D28/A28</f>
        <v>#DIV/0!</v>
      </c>
    </row>
    <row r="31" customFormat="false" ht="12.8" hidden="false" customHeight="false" outlineLevel="0" collapsed="false">
      <c r="B31" s="7" t="s">
        <v>12</v>
      </c>
    </row>
    <row r="32" customFormat="false" ht="202.95" hidden="false" customHeight="true" outlineLevel="0" collapsed="false">
      <c r="B32" s="5"/>
    </row>
  </sheetData>
  <mergeCells count="2">
    <mergeCell ref="A11:C11"/>
    <mergeCell ref="C14:F14"/>
  </mergeCells>
  <conditionalFormatting sqref="E16:E28 G16:H28">
    <cfRule type="cellIs" priority="2" operator="lessThan" aboveAverage="0" equalAverage="0" bottom="0" percent="0" rank="0" text="" dxfId="0">
      <formula>0.6</formula>
    </cfRule>
    <cfRule type="cellIs" priority="3" operator="lessThan" aboveAverage="0" equalAverage="0" bottom="0" percent="0" rank="0" text="" dxfId="1">
      <formula>0.8</formula>
    </cfRule>
    <cfRule type="cellIs" priority="4" operator="greaterThanOrEqual" aboveAverage="0" equalAverage="0" bottom="0" percent="0" rank="0" text="" dxfId="2">
      <formula>0.8</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34" activeCellId="0" sqref="J34"/>
    </sheetView>
  </sheetViews>
  <sheetFormatPr defaultColWidth="11.53515625" defaultRowHeight="12.8" zeroHeight="false" outlineLevelRow="0" outlineLevelCol="0"/>
  <cols>
    <col collapsed="false" customWidth="true" hidden="false" outlineLevel="0" max="2" min="2" style="0" width="61.21"/>
  </cols>
  <sheetData>
    <row r="1" customFormat="false" ht="19.7" hidden="false" customHeight="false" outlineLevel="0" collapsed="false">
      <c r="A1" s="2" t="s">
        <v>42</v>
      </c>
      <c r="B1" s="1"/>
      <c r="C1" s="1"/>
      <c r="D1" s="1"/>
    </row>
    <row r="2" customFormat="false" ht="12.8" hidden="false" customHeight="false" outlineLevel="0" collapsed="false">
      <c r="A2" s="1"/>
      <c r="B2" s="1"/>
      <c r="C2" s="1"/>
      <c r="D2" s="1"/>
    </row>
    <row r="3" customFormat="false" ht="12.8" hidden="false" customHeight="false" outlineLevel="0" collapsed="false">
      <c r="A3" s="1"/>
      <c r="B3" s="1"/>
      <c r="C3" s="1"/>
      <c r="D3" s="1"/>
    </row>
    <row r="4" customFormat="false" ht="12.8" hidden="false" customHeight="false" outlineLevel="0" collapsed="false">
      <c r="A4" s="1"/>
      <c r="B4" s="1"/>
      <c r="C4" s="1"/>
      <c r="D4" s="1"/>
    </row>
    <row r="5" customFormat="false" ht="12.8" hidden="false" customHeight="false" outlineLevel="0" collapsed="false">
      <c r="A5" s="1"/>
      <c r="B5" s="1"/>
      <c r="C5" s="1"/>
      <c r="D5" s="1"/>
    </row>
    <row r="6" customFormat="false" ht="12.8" hidden="false" customHeight="false" outlineLevel="0" collapsed="false">
      <c r="A6" s="1"/>
      <c r="B6" s="1"/>
      <c r="C6" s="1"/>
      <c r="D6" s="1"/>
    </row>
    <row r="7" customFormat="false" ht="12.8" hidden="false" customHeight="false" outlineLevel="0" collapsed="false">
      <c r="A7" s="1"/>
      <c r="B7" s="1"/>
      <c r="C7" s="1"/>
      <c r="D7" s="1"/>
    </row>
    <row r="8" customFormat="false" ht="12.8" hidden="false" customHeight="false" outlineLevel="0" collapsed="false">
      <c r="A8" s="1"/>
      <c r="B8" s="1"/>
      <c r="C8" s="1"/>
      <c r="D8" s="1"/>
    </row>
    <row r="9" customFormat="false" ht="12.8" hidden="false" customHeight="false" outlineLevel="0" collapsed="false">
      <c r="A9" s="1"/>
      <c r="B9" s="1"/>
      <c r="C9" s="1"/>
      <c r="D9" s="1"/>
    </row>
    <row r="10" customFormat="false" ht="12.8" hidden="false" customHeight="false" outlineLevel="0" collapsed="false">
      <c r="A10" s="1"/>
      <c r="B10" s="1"/>
      <c r="C10" s="1"/>
      <c r="D10" s="1"/>
    </row>
    <row r="11" customFormat="false" ht="82.05" hidden="false" customHeight="true" outlineLevel="0" collapsed="false">
      <c r="A11" s="3" t="s">
        <v>1</v>
      </c>
      <c r="B11" s="3"/>
      <c r="C11" s="3"/>
      <c r="D11" s="3"/>
    </row>
    <row r="12" customFormat="false" ht="12.8" hidden="false" customHeight="false" outlineLevel="0" collapsed="false">
      <c r="A12" s="1"/>
      <c r="B12" s="1"/>
      <c r="C12" s="1"/>
      <c r="D12" s="1"/>
    </row>
    <row r="13" customFormat="false" ht="12.8" hidden="false" customHeight="false" outlineLevel="0" collapsed="false">
      <c r="B13" s="15" t="s">
        <v>43</v>
      </c>
      <c r="C13" s="15" t="s">
        <v>44</v>
      </c>
      <c r="D13" s="15" t="s">
        <v>45</v>
      </c>
      <c r="E13" s="15" t="s">
        <v>46</v>
      </c>
      <c r="F13" s="15" t="s">
        <v>47</v>
      </c>
    </row>
    <row r="14" customFormat="false" ht="12.8" hidden="false" customHeight="false" outlineLevel="0" collapsed="false">
      <c r="B14" s="16" t="s">
        <v>48</v>
      </c>
      <c r="C14" s="17" t="n">
        <v>0.439</v>
      </c>
      <c r="D14" s="18" t="b">
        <v>1</v>
      </c>
      <c r="E14" s="19" t="n">
        <f aca="false">IF(D14,C14,0)</f>
        <v>0.439</v>
      </c>
      <c r="F14" s="19" t="n">
        <f aca="false">IF(E14,0,C14)</f>
        <v>0</v>
      </c>
    </row>
    <row r="15" customFormat="false" ht="12.8" hidden="false" customHeight="false" outlineLevel="0" collapsed="false">
      <c r="B15" s="16" t="s">
        <v>49</v>
      </c>
      <c r="C15" s="17" t="n">
        <v>0.078</v>
      </c>
      <c r="D15" s="18" t="b">
        <v>1</v>
      </c>
      <c r="E15" s="19" t="n">
        <f aca="false">IF(D15,C15,0)</f>
        <v>0.078</v>
      </c>
      <c r="F15" s="19" t="n">
        <f aca="false">IF(E15,0,C15)</f>
        <v>0</v>
      </c>
    </row>
    <row r="16" customFormat="false" ht="12.8" hidden="false" customHeight="false" outlineLevel="0" collapsed="false">
      <c r="B16" s="16" t="s">
        <v>50</v>
      </c>
      <c r="C16" s="17" t="n">
        <v>0.026</v>
      </c>
      <c r="D16" s="18" t="b">
        <v>1</v>
      </c>
      <c r="E16" s="19" t="n">
        <f aca="false">IF(D16,C16,0)</f>
        <v>0.026</v>
      </c>
      <c r="F16" s="19" t="n">
        <f aca="false">IF(E16,0,C16)</f>
        <v>0</v>
      </c>
    </row>
    <row r="17" customFormat="false" ht="12.8" hidden="false" customHeight="false" outlineLevel="0" collapsed="false">
      <c r="B17" s="16" t="s">
        <v>51</v>
      </c>
      <c r="C17" s="17" t="n">
        <v>0.023</v>
      </c>
      <c r="D17" s="18" t="b">
        <v>0</v>
      </c>
      <c r="E17" s="19" t="n">
        <f aca="false">IF(D17,C17,0)</f>
        <v>0</v>
      </c>
      <c r="F17" s="19" t="n">
        <f aca="false">IF(E17,0,C17)</f>
        <v>0.023</v>
      </c>
    </row>
    <row r="18" customFormat="false" ht="12.8" hidden="false" customHeight="false" outlineLevel="0" collapsed="false">
      <c r="B18" s="16" t="s">
        <v>52</v>
      </c>
      <c r="C18" s="17" t="n">
        <v>0.017</v>
      </c>
      <c r="D18" s="18" t="b">
        <v>0</v>
      </c>
      <c r="E18" s="19" t="n">
        <f aca="false">IF(D18,C18,0)</f>
        <v>0</v>
      </c>
      <c r="F18" s="19" t="n">
        <f aca="false">IF(E18,0,C18)</f>
        <v>0.017</v>
      </c>
    </row>
    <row r="19" customFormat="false" ht="12.8" hidden="false" customHeight="false" outlineLevel="0" collapsed="false">
      <c r="B19" s="16" t="s">
        <v>53</v>
      </c>
      <c r="C19" s="17" t="n">
        <v>0.016</v>
      </c>
      <c r="D19" s="18" t="b">
        <v>0</v>
      </c>
      <c r="E19" s="19" t="n">
        <f aca="false">IF(D19,C19,0)</f>
        <v>0</v>
      </c>
      <c r="F19" s="19" t="n">
        <f aca="false">IF(E19,0,C19)</f>
        <v>0.016</v>
      </c>
    </row>
    <row r="20" customFormat="false" ht="12.8" hidden="false" customHeight="false" outlineLevel="0" collapsed="false">
      <c r="B20" s="16" t="s">
        <v>54</v>
      </c>
      <c r="C20" s="17" t="n">
        <v>0.013</v>
      </c>
      <c r="D20" s="18" t="b">
        <v>0</v>
      </c>
      <c r="E20" s="19" t="n">
        <f aca="false">IF(D20,C20,0)</f>
        <v>0</v>
      </c>
      <c r="F20" s="19" t="n">
        <f aca="false">IF(E20,0,C20)</f>
        <v>0.013</v>
      </c>
    </row>
    <row r="21" customFormat="false" ht="12.8" hidden="false" customHeight="false" outlineLevel="0" collapsed="false">
      <c r="B21" s="16" t="s">
        <v>55</v>
      </c>
      <c r="C21" s="17" t="n">
        <v>0.013</v>
      </c>
      <c r="D21" s="18" t="b">
        <v>1</v>
      </c>
      <c r="E21" s="19" t="n">
        <f aca="false">IF(D21,C21,0)</f>
        <v>0.013</v>
      </c>
      <c r="F21" s="19" t="n">
        <f aca="false">IF(E21,0,C21)</f>
        <v>0</v>
      </c>
    </row>
    <row r="22" customFormat="false" ht="12.8" hidden="false" customHeight="false" outlineLevel="0" collapsed="false">
      <c r="B22" s="16" t="s">
        <v>56</v>
      </c>
      <c r="C22" s="17" t="n">
        <v>0.009</v>
      </c>
      <c r="D22" s="18" t="b">
        <v>1</v>
      </c>
      <c r="E22" s="19" t="n">
        <f aca="false">IF(D22,C22,0)</f>
        <v>0.009</v>
      </c>
      <c r="F22" s="19" t="n">
        <f aca="false">IF(E22,0,C22)</f>
        <v>0</v>
      </c>
    </row>
    <row r="23" customFormat="false" ht="12.8" hidden="false" customHeight="false" outlineLevel="0" collapsed="false">
      <c r="B23" s="16" t="s">
        <v>57</v>
      </c>
      <c r="C23" s="17" t="n">
        <v>0.009</v>
      </c>
      <c r="D23" s="18" t="b">
        <v>0</v>
      </c>
      <c r="E23" s="19" t="n">
        <f aca="false">IF(D23,C23,0)</f>
        <v>0</v>
      </c>
      <c r="F23" s="19" t="n">
        <f aca="false">IF(E23,0,C23)</f>
        <v>0.009</v>
      </c>
    </row>
    <row r="26" customFormat="false" ht="12.8" hidden="false" customHeight="false" outlineLevel="0" collapsed="false">
      <c r="C26" s="15" t="s">
        <v>58</v>
      </c>
      <c r="E26" s="15" t="s">
        <v>46</v>
      </c>
      <c r="F26" s="15" t="s">
        <v>47</v>
      </c>
      <c r="G26" s="15" t="s">
        <v>59</v>
      </c>
    </row>
    <row r="27" customFormat="false" ht="12.8" hidden="false" customHeight="false" outlineLevel="0" collapsed="false">
      <c r="B27" s="0" t="s">
        <v>60</v>
      </c>
      <c r="C27" s="19" t="n">
        <f aca="false">SUM(C14:C23)</f>
        <v>0.643</v>
      </c>
      <c r="E27" s="20" t="n">
        <f aca="false">SUM(E14:E23)</f>
        <v>0.565</v>
      </c>
      <c r="F27" s="19" t="n">
        <f aca="false">SUM(F14:F23)</f>
        <v>0.078</v>
      </c>
      <c r="G27" s="19" t="n">
        <f aca="false">1-E27-F27</f>
        <v>0.357</v>
      </c>
    </row>
    <row r="33" customFormat="false" ht="12.8" hidden="false" customHeight="false" outlineLevel="0" collapsed="false">
      <c r="C33" s="19"/>
    </row>
    <row r="34" customFormat="false" ht="12.8" hidden="false" customHeight="false" outlineLevel="0" collapsed="false">
      <c r="C34" s="19"/>
    </row>
    <row r="35" customFormat="false" ht="12.8" hidden="false" customHeight="false" outlineLevel="0" collapsed="false">
      <c r="C35" s="19"/>
    </row>
    <row r="36" customFormat="false" ht="12.8" hidden="false" customHeight="false" outlineLevel="0" collapsed="false">
      <c r="C36" s="19"/>
    </row>
    <row r="37" customFormat="false" ht="12.8" hidden="false" customHeight="false" outlineLevel="0" collapsed="false">
      <c r="C37" s="19"/>
    </row>
    <row r="38" customFormat="false" ht="12.8" hidden="false" customHeight="false" outlineLevel="0" collapsed="false">
      <c r="C38" s="19"/>
    </row>
    <row r="39" customFormat="false" ht="12.8" hidden="false" customHeight="false" outlineLevel="0" collapsed="false">
      <c r="C39" s="19"/>
    </row>
    <row r="40" customFormat="false" ht="12.8" hidden="false" customHeight="false" outlineLevel="0" collapsed="false">
      <c r="C40" s="19"/>
    </row>
    <row r="41" customFormat="false" ht="12.8" hidden="false" customHeight="false" outlineLevel="0" collapsed="false">
      <c r="C41" s="19"/>
    </row>
    <row r="42" customFormat="false" ht="12.8" hidden="false" customHeight="false" outlineLevel="0" collapsed="false">
      <c r="C42" s="19"/>
    </row>
    <row r="43" customFormat="false" ht="12.8" hidden="false" customHeight="false" outlineLevel="0" collapsed="false">
      <c r="C43" s="19"/>
    </row>
    <row r="44" customFormat="false" ht="12.8" hidden="false" customHeight="false" outlineLevel="0" collapsed="false">
      <c r="C44" s="19"/>
    </row>
  </sheetData>
  <mergeCells count="1">
    <mergeCell ref="A11:C11"/>
  </mergeCells>
  <conditionalFormatting sqref="E27">
    <cfRule type="cellIs" priority="2" operator="lessThan" aboveAverage="0" equalAverage="0" bottom="0" percent="0" rank="0" text="" dxfId="0">
      <formula>0.6</formula>
    </cfRule>
    <cfRule type="cellIs" priority="3" operator="lessThan" aboveAverage="0" equalAverage="0" bottom="0" percent="0" rank="0" text="" dxfId="1">
      <formula>0.8</formula>
    </cfRule>
    <cfRule type="cellIs" priority="4" operator="greaterThanOrEqual" aboveAverage="0" equalAverage="0" bottom="0" percent="0" rank="0" text="" dxfId="2">
      <formula>0.8</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1148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2025-05-02T21:15:37Z</dcterms:created>
  <dc:creator/>
  <dc:description/>
  <dc:language>en-GB</dc:language>
  <cp:lastModifiedBy/>
  <dcterms:modified xsi:type="dcterms:W3CDTF">2025-05-10T14:28:21Z</dcterms:modified>
  <cp:revision>56</cp:revision>
  <dc:subject/>
  <dc:title/>
</cp:coreProperties>
</file>

<file path=docProps/custom.xml><?xml version="1.0" encoding="utf-8"?>
<Properties xmlns="http://schemas.openxmlformats.org/officeDocument/2006/custom-properties" xmlns:vt="http://schemas.openxmlformats.org/officeDocument/2006/docPropsVTypes"/>
</file>